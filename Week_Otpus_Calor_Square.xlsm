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vakul\Desktop\УП_313\МДК02.02\"/>
    </mc:Choice>
  </mc:AlternateContent>
  <xr:revisionPtr revIDLastSave="0" documentId="13_ncr:1_{56309A3A-AE71-4847-91B7-F6190DE2EB02}" xr6:coauthVersionLast="47" xr6:coauthVersionMax="47" xr10:uidLastSave="{00000000-0000-0000-0000-000000000000}"/>
  <bookViews>
    <workbookView xWindow="-108" yWindow="-108" windowWidth="23256" windowHeight="12456" activeTab="1" xr2:uid="{CAB238D1-E94E-4EEF-80B9-74A6AB8D9031}"/>
  </bookViews>
  <sheets>
    <sheet name="DayOfWeek" sheetId="1" r:id="rId1"/>
    <sheet name="Otpusknye" sheetId="2" r:id="rId2"/>
    <sheet name="CaloriesPerDay" sheetId="3" r:id="rId3"/>
    <sheet name="SquareEquation" sheetId="5" r:id="rId4"/>
    <sheet name="CaloriesPerDay2" sheetId="4" r:id="rId5"/>
    <sheet name="SquareEquation2" sheetId="6" r:id="rId6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CaloriesPerDay">
          <x14:argumentDescriptions count="4">
            <x14:argumentDescription index="0">Пол</x14:argumentDescription>
            <x14:argumentDescription index="1">Возраст</x14:argumentDescription>
            <x14:argumentDescription index="2">Вес</x14:argumentDescription>
            <x14:argumentDescription index="3">Рост</x14:argumentDescription>
          </x14:argumentDescriptions>
        </x14:definedName>
        <x14:definedName name="CaloriesPerDay2">
          <x14:argumentDescriptions count="4">
            <x14:argumentDescription index="0">Пол</x14:argumentDescription>
            <x14:argumentDescription index="1">Возраст</x14:argumentDescription>
            <x14:argumentDescription index="2">Вес</x14:argumentDescription>
            <x14:argumentDescription index="3">Рост</x14:argumentDescription>
          </x14:argumentDescriptions>
        </x14:definedName>
        <x14:definedName name="DayOfWeek">
          <x14:argumentDescriptions count="1">
            <x14:argumentDescription index="0">Целое число от 1 до 7, обозначающее номер дня недели</x14:argumentDescription>
          </x14:argumentDescriptions>
        </x14:definedName>
        <x14:definedName name="Otpusknye">
          <x14:argumentDescriptions count="2">
            <x14:argumentDescription index="0">Общая з.п.</x14:argumentDescription>
            <x14:argumentDescription index="1">Число выходных дней</x14:argumentDescription>
          </x14:argumentDescriptions>
        </x14:definedName>
        <x14:definedName name="SquareEquation">
          <x14:argumentDescriptions count="3">
            <x14:argumentDescription index="0">1 число</x14:argumentDescription>
            <x14:argumentDescription index="1">2 число</x14:argumentDescription>
            <x14:argumentDescription index="2">3 число</x14:argumentDescription>
          </x14:argumentDescriptions>
        </x14:definedName>
        <x14:definedName name="SquareEquation2">
          <x14:argumentDescriptions count="3">
            <x14:argumentDescription index="0">1 число</x14:argumentDescription>
            <x14:argumentDescription index="1">2 число</x14:argumentDescription>
            <x14:argumentDescription index="2">3 число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D3" i="6"/>
  <c r="D6" i="2"/>
  <c r="D4" i="6"/>
  <c r="D6" i="6"/>
  <c r="F3" i="3"/>
  <c r="G12" i="4"/>
  <c r="G7" i="4"/>
  <c r="G4" i="4"/>
  <c r="F6" i="3"/>
  <c r="F8" i="3"/>
  <c r="D4" i="5"/>
  <c r="D8" i="2"/>
  <c r="F5" i="3"/>
  <c r="D11" i="2"/>
  <c r="D14" i="2"/>
  <c r="D13" i="2"/>
  <c r="D4" i="2"/>
  <c r="D5" i="2"/>
  <c r="D5" i="5"/>
  <c r="D3" i="5"/>
  <c r="D3" i="2"/>
  <c r="D5" i="6"/>
  <c r="G6" i="4"/>
  <c r="G9" i="4"/>
  <c r="D6" i="5"/>
  <c r="F10" i="3"/>
  <c r="F7" i="3"/>
  <c r="D10" i="2"/>
  <c r="D16" i="2"/>
  <c r="D9" i="2"/>
  <c r="G8" i="4"/>
  <c r="F9" i="3"/>
  <c r="G5" i="4"/>
  <c r="G11" i="4"/>
  <c r="G10" i="4"/>
  <c r="F12" i="3"/>
  <c r="F4" i="3"/>
  <c r="D12" i="2"/>
  <c r="F11" i="3"/>
  <c r="D15" i="2"/>
  <c r="D7" i="2"/>
  <c r="G3" i="4"/>
</calcChain>
</file>

<file path=xl/sharedStrings.xml><?xml version="1.0" encoding="utf-8"?>
<sst xmlns="http://schemas.openxmlformats.org/spreadsheetml/2006/main" count="73" uniqueCount="39">
  <si>
    <t>Расчет отпускных для работников со стажем свыше 1 года</t>
  </si>
  <si>
    <t>Код работника</t>
  </si>
  <si>
    <t>Общая з.п.</t>
  </si>
  <si>
    <t>Число вых.д.</t>
  </si>
  <si>
    <t>Отпускные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</si>
  <si>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</si>
  <si>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</si>
  <si>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</si>
  <si>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</si>
  <si>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</si>
  <si>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</si>
  <si>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</si>
  <si>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</si>
  <si>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</si>
  <si>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</si>
  <si>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</si>
  <si>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</si>
  <si>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</si>
  <si>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</si>
  <si>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Суточная норма калорий для участников программы похудения</t>
  </si>
  <si>
    <t>№ участника</t>
  </si>
  <si>
    <t>Пол</t>
  </si>
  <si>
    <t>Возраст</t>
  </si>
  <si>
    <t>Вес</t>
  </si>
  <si>
    <t>Рост</t>
  </si>
  <si>
    <t>Норма калорий</t>
  </si>
  <si>
    <t>женский</t>
  </si>
  <si>
    <t>мужской</t>
  </si>
  <si>
    <t>Квадратные уравнения</t>
  </si>
  <si>
    <t>a</t>
  </si>
  <si>
    <t>b</t>
  </si>
  <si>
    <t>c</t>
  </si>
  <si>
    <t>Корень (корни) уравнения</t>
  </si>
  <si>
    <t>female</t>
  </si>
  <si>
    <t>male</t>
  </si>
  <si>
    <t>Степень физ активности</t>
  </si>
  <si>
    <t>minimum activity</t>
  </si>
  <si>
    <t>weak activity</t>
  </si>
  <si>
    <t>high activity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</si>
</sst>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49" fontId="0" fillId="0" borderId="1" xfId="0" applyNumberFormat="1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E70FA-63DC-470A-A9F2-56317CA1A36D}">
  <sheetPr codeName="Лист1"/>
  <dimension ref="A1"/>
  <sheetViews>
    <sheetView workbookViewId="0">
      <selection activeCell="A2" sqref="A2"/>
    </sheetView>
  </sheetViews>
  <sheetFormatPr defaultRowHeight="14.4" x14ac:dyDescent="0.3"/>
  <cols>
    <col min="1" max="1" width="19.77734375" customWidth="1"/>
  </cols>
  <sheetData>
    <row r="1" spans="1:1" x14ac:dyDescent="0.3">
      <c r="A1" t="str">
        <f>DayOfWeek(5)</f>
        <v>Пятница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DF43B-2E69-4F60-A24D-A82A6B6EAF9A}">
  <sheetPr codeName="Лист2"/>
  <dimension ref="A1:D16"/>
  <sheetViews>
    <sheetView tabSelected="1" workbookViewId="0">
      <selection activeCell="H6" sqref="H6"/>
    </sheetView>
  </sheetViews>
  <sheetFormatPr defaultRowHeight="14.4" x14ac:dyDescent="0.3"/>
  <cols>
    <col min="1" max="1" width="16" customWidth="1"/>
    <col min="2" max="2" width="14.109375" customWidth="1"/>
    <col min="3" max="3" width="12.88671875" customWidth="1"/>
    <col min="4" max="4" width="14.21875" customWidth="1"/>
  </cols>
  <sheetData>
    <row r="1" spans="1:4" x14ac:dyDescent="0.3">
      <c r="A1" s="3" t="s">
        <v>0</v>
      </c>
      <c r="B1" s="3"/>
      <c r="C1" s="3"/>
      <c r="D1" s="3"/>
    </row>
    <row r="2" spans="1:4" x14ac:dyDescent="0.3">
      <c r="A2" s="1" t="s">
        <v>1</v>
      </c>
      <c r="B2" s="1" t="s">
        <v>2</v>
      </c>
      <c r="C2" s="1" t="s">
        <v>3</v>
      </c>
      <c r="D2" s="1" t="s">
        <v>4</v>
      </c>
    </row>
    <row r="3" spans="1:4" x14ac:dyDescent="0.3">
      <c r="A3" s="2" t="s">
        <v>5</v>
      </c>
      <c r="B3" s="1">
        <v>125800</v>
      </c>
      <c r="C3" s="1">
        <v>12</v>
      </c>
      <c r="D3" s="1">
        <f>Otpusknye(B3,C3)</f>
        <v>8553</v>
      </c>
    </row>
    <row r="4" spans="1:4" x14ac:dyDescent="0.3">
      <c r="A4" s="2" t="s">
        <v>6</v>
      </c>
      <c r="B4" s="1">
        <v>144200</v>
      </c>
      <c r="C4" s="1">
        <v>12</v>
      </c>
      <c r="D4" s="1">
        <f>Otpusknye(B4,C4)</f>
        <v>9804</v>
      </c>
    </row>
    <row r="5" spans="1:4" x14ac:dyDescent="0.3">
      <c r="A5" s="2" t="s">
        <v>7</v>
      </c>
      <c r="B5" s="1">
        <v>110000</v>
      </c>
      <c r="C5" s="1">
        <v>12</v>
      </c>
      <c r="D5" s="1">
        <f t="shared" ref="D5:D16" si="0">Otpusknye(B5,C5)</f>
        <v>7479</v>
      </c>
    </row>
    <row r="6" spans="1:4" x14ac:dyDescent="0.3">
      <c r="A6" s="2" t="s">
        <v>8</v>
      </c>
      <c r="B6" s="1">
        <v>270900</v>
      </c>
      <c r="C6" s="1">
        <v>12</v>
      </c>
      <c r="D6" s="1">
        <f t="shared" si="0"/>
        <v>18418</v>
      </c>
    </row>
    <row r="7" spans="1:4" x14ac:dyDescent="0.3">
      <c r="A7" s="2" t="s">
        <v>9</v>
      </c>
      <c r="B7" s="1">
        <v>345000</v>
      </c>
      <c r="C7" s="1">
        <v>12</v>
      </c>
      <c r="D7" s="1">
        <f t="shared" si="0"/>
        <v>23456</v>
      </c>
    </row>
    <row r="8" spans="1:4" x14ac:dyDescent="0.3">
      <c r="A8" s="2" t="s">
        <v>10</v>
      </c>
      <c r="B8" s="1">
        <v>267400</v>
      </c>
      <c r="C8" s="1">
        <v>12</v>
      </c>
      <c r="D8" s="1">
        <f t="shared" si="0"/>
        <v>18180</v>
      </c>
    </row>
    <row r="9" spans="1:4" x14ac:dyDescent="0.3">
      <c r="A9" s="2" t="s">
        <v>11</v>
      </c>
      <c r="B9" s="1">
        <v>139000</v>
      </c>
      <c r="C9" s="1">
        <v>12</v>
      </c>
      <c r="D9" s="1">
        <f t="shared" si="0"/>
        <v>9450</v>
      </c>
    </row>
    <row r="10" spans="1:4" x14ac:dyDescent="0.3">
      <c r="A10" s="2" t="s">
        <v>12</v>
      </c>
      <c r="B10" s="1">
        <v>124350</v>
      </c>
      <c r="C10" s="1">
        <v>12</v>
      </c>
      <c r="D10" s="1">
        <f t="shared" si="0"/>
        <v>8454</v>
      </c>
    </row>
    <row r="11" spans="1:4" x14ac:dyDescent="0.3">
      <c r="A11" s="2" t="s">
        <v>13</v>
      </c>
      <c r="B11" s="1">
        <v>90320</v>
      </c>
      <c r="C11" s="1">
        <v>12</v>
      </c>
      <c r="D11" s="1">
        <f t="shared" si="0"/>
        <v>6141</v>
      </c>
    </row>
    <row r="12" spans="1:4" x14ac:dyDescent="0.3">
      <c r="A12" s="2" t="s">
        <v>14</v>
      </c>
      <c r="B12" s="1">
        <v>241500</v>
      </c>
      <c r="C12" s="1">
        <v>12</v>
      </c>
      <c r="D12" s="1">
        <f t="shared" si="0"/>
        <v>16419</v>
      </c>
    </row>
    <row r="13" spans="1:4" x14ac:dyDescent="0.3">
      <c r="A13" s="2" t="s">
        <v>15</v>
      </c>
      <c r="B13" s="1">
        <v>475000</v>
      </c>
      <c r="C13" s="1">
        <v>12</v>
      </c>
      <c r="D13" s="1">
        <f t="shared" si="0"/>
        <v>32295</v>
      </c>
    </row>
    <row r="14" spans="1:4" x14ac:dyDescent="0.3">
      <c r="A14" s="2" t="s">
        <v>16</v>
      </c>
      <c r="B14" s="1">
        <v>220000</v>
      </c>
      <c r="C14" s="1">
        <v>12</v>
      </c>
      <c r="D14" s="1">
        <f t="shared" si="0"/>
        <v>14958</v>
      </c>
    </row>
    <row r="15" spans="1:4" x14ac:dyDescent="0.3">
      <c r="A15" s="2" t="s">
        <v>17</v>
      </c>
      <c r="B15" s="1">
        <v>79100</v>
      </c>
      <c r="C15" s="1">
        <v>12</v>
      </c>
      <c r="D15" s="1">
        <f t="shared" si="0"/>
        <v>5378</v>
      </c>
    </row>
    <row r="16" spans="1:4" x14ac:dyDescent="0.3">
      <c r="A16" s="2" t="s">
        <v>18</v>
      </c>
      <c r="B16" s="1">
        <v>255000</v>
      </c>
      <c r="C16" s="1">
        <v>12</v>
      </c>
      <c r="D16" s="1">
        <f t="shared" si="0"/>
        <v>17337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0544A-9D97-42E5-9087-12D0220EFF0B}">
  <sheetPr codeName="Лист3"/>
  <dimension ref="A1:F12"/>
  <sheetViews>
    <sheetView workbookViewId="0">
      <selection activeCell="F26" sqref="F26:F27"/>
    </sheetView>
  </sheetViews>
  <sheetFormatPr defaultRowHeight="14.4" x14ac:dyDescent="0.3"/>
  <cols>
    <col min="1" max="1" width="14.33203125" customWidth="1"/>
    <col min="6" max="6" width="16.88671875" customWidth="1"/>
  </cols>
  <sheetData>
    <row r="1" spans="1:6" x14ac:dyDescent="0.3">
      <c r="A1" s="3" t="s">
        <v>19</v>
      </c>
      <c r="B1" s="3"/>
      <c r="C1" s="3"/>
      <c r="D1" s="3"/>
      <c r="E1" s="3"/>
      <c r="F1" s="3"/>
    </row>
    <row r="2" spans="1:6" x14ac:dyDescent="0.3">
      <c r="A2" s="1" t="s">
        <v>20</v>
      </c>
      <c r="B2" s="1" t="s">
        <v>21</v>
      </c>
      <c r="C2" s="1" t="s">
        <v>22</v>
      </c>
      <c r="D2" s="1" t="s">
        <v>23</v>
      </c>
      <c r="E2" s="1" t="s">
        <v>24</v>
      </c>
      <c r="F2" s="1" t="s">
        <v>25</v>
      </c>
    </row>
    <row r="3" spans="1:6" x14ac:dyDescent="0.3">
      <c r="A3" s="1">
        <v>1</v>
      </c>
      <c r="B3" s="1" t="s">
        <v>26</v>
      </c>
      <c r="C3" s="1">
        <v>33</v>
      </c>
      <c r="D3" s="1">
        <v>167</v>
      </c>
      <c r="E3" s="1">
        <v>165</v>
      </c>
      <c r="F3" s="1">
        <f>CaloriesPerDay(B3,C3,D3,E3)</f>
        <v>2375</v>
      </c>
    </row>
    <row r="4" spans="1:6" x14ac:dyDescent="0.3">
      <c r="A4" s="1">
        <v>2</v>
      </c>
      <c r="B4" s="1" t="s">
        <v>26</v>
      </c>
      <c r="C4" s="1">
        <v>42</v>
      </c>
      <c r="D4" s="1">
        <v>78</v>
      </c>
      <c r="E4" s="1">
        <v>147</v>
      </c>
      <c r="F4" s="1">
        <f t="shared" ref="F4:F12" si="0">CaloriesPerDay(B4,C4,D4,E4)</f>
        <v>1328</v>
      </c>
    </row>
    <row r="5" spans="1:6" x14ac:dyDescent="0.3">
      <c r="A5" s="1">
        <v>3</v>
      </c>
      <c r="B5" s="1" t="s">
        <v>27</v>
      </c>
      <c r="C5" s="1">
        <v>28</v>
      </c>
      <c r="D5" s="1">
        <v>81</v>
      </c>
      <c r="E5" s="1">
        <v>154</v>
      </c>
      <c r="F5" s="1">
        <f t="shared" si="0"/>
        <v>1638</v>
      </c>
    </row>
    <row r="6" spans="1:6" x14ac:dyDescent="0.3">
      <c r="A6" s="1">
        <v>4</v>
      </c>
      <c r="B6" s="1" t="s">
        <v>26</v>
      </c>
      <c r="C6" s="1">
        <v>23</v>
      </c>
      <c r="D6" s="1">
        <v>123</v>
      </c>
      <c r="E6" s="1">
        <v>167</v>
      </c>
      <c r="F6" s="1">
        <f t="shared" si="0"/>
        <v>1998</v>
      </c>
    </row>
    <row r="7" spans="1:6" x14ac:dyDescent="0.3">
      <c r="A7" s="1">
        <v>5</v>
      </c>
      <c r="B7" s="1" t="s">
        <v>27</v>
      </c>
      <c r="C7" s="1">
        <v>37</v>
      </c>
      <c r="D7" s="1">
        <v>145</v>
      </c>
      <c r="E7" s="1">
        <v>172</v>
      </c>
      <c r="F7" s="1">
        <f t="shared" si="0"/>
        <v>2345</v>
      </c>
    </row>
    <row r="8" spans="1:6" x14ac:dyDescent="0.3">
      <c r="A8" s="1">
        <v>6</v>
      </c>
      <c r="B8" s="1" t="s">
        <v>27</v>
      </c>
      <c r="C8" s="1">
        <v>54</v>
      </c>
      <c r="D8" s="1">
        <v>92</v>
      </c>
      <c r="E8" s="1">
        <v>163</v>
      </c>
      <c r="F8" s="1">
        <f t="shared" si="0"/>
        <v>1674</v>
      </c>
    </row>
    <row r="9" spans="1:6" x14ac:dyDescent="0.3">
      <c r="A9" s="1">
        <v>7</v>
      </c>
      <c r="B9" s="1" t="s">
        <v>27</v>
      </c>
      <c r="C9" s="1">
        <v>19</v>
      </c>
      <c r="D9" s="1">
        <v>129</v>
      </c>
      <c r="E9" s="1">
        <v>175</v>
      </c>
      <c r="F9" s="1">
        <f t="shared" si="0"/>
        <v>2294</v>
      </c>
    </row>
    <row r="10" spans="1:6" x14ac:dyDescent="0.3">
      <c r="A10" s="1">
        <v>8</v>
      </c>
      <c r="B10" s="1" t="s">
        <v>26</v>
      </c>
      <c r="C10" s="1">
        <v>18</v>
      </c>
      <c r="D10" s="1">
        <v>139</v>
      </c>
      <c r="E10" s="1">
        <v>159</v>
      </c>
      <c r="F10" s="1">
        <f t="shared" si="0"/>
        <v>2133</v>
      </c>
    </row>
    <row r="11" spans="1:6" x14ac:dyDescent="0.3">
      <c r="A11" s="1">
        <v>9</v>
      </c>
      <c r="B11" s="1" t="s">
        <v>26</v>
      </c>
      <c r="C11" s="1">
        <v>61</v>
      </c>
      <c r="D11" s="1">
        <v>210</v>
      </c>
      <c r="E11" s="1">
        <v>178</v>
      </c>
      <c r="F11" s="1">
        <f t="shared" si="0"/>
        <v>2746</v>
      </c>
    </row>
    <row r="12" spans="1:6" x14ac:dyDescent="0.3">
      <c r="A12" s="1">
        <v>10</v>
      </c>
      <c r="B12" s="1" t="s">
        <v>27</v>
      </c>
      <c r="C12" s="1">
        <v>47</v>
      </c>
      <c r="D12" s="1">
        <v>167</v>
      </c>
      <c r="E12" s="1">
        <v>186</v>
      </c>
      <c r="F12" s="1">
        <f t="shared" si="0"/>
        <v>2602</v>
      </c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8C356-9319-4B89-AF01-99B073A5DA6E}">
  <sheetPr codeName="Лист5"/>
  <dimension ref="A1:D6"/>
  <sheetViews>
    <sheetView workbookViewId="0">
      <selection activeCell="D17" sqref="D17"/>
    </sheetView>
  </sheetViews>
  <sheetFormatPr defaultRowHeight="14.4" x14ac:dyDescent="0.3"/>
  <cols>
    <col min="4" max="4" width="69.21875" customWidth="1"/>
  </cols>
  <sheetData>
    <row r="1" spans="1:4" x14ac:dyDescent="0.3">
      <c r="A1" s="3" t="s">
        <v>28</v>
      </c>
      <c r="B1" s="3"/>
      <c r="C1" s="3"/>
      <c r="D1" s="3"/>
    </row>
    <row r="2" spans="1:4" x14ac:dyDescent="0.3">
      <c r="A2" s="1" t="s">
        <v>29</v>
      </c>
      <c r="B2" s="1" t="s">
        <v>30</v>
      </c>
      <c r="C2" s="1" t="s">
        <v>31</v>
      </c>
      <c r="D2" s="1" t="s">
        <v>32</v>
      </c>
    </row>
    <row r="3" spans="1:4" x14ac:dyDescent="0.3">
      <c r="A3" s="1">
        <v>1</v>
      </c>
      <c r="B3" s="1">
        <v>3</v>
      </c>
      <c r="C3" s="1">
        <v>1</v>
      </c>
      <c r="D3" s="1" t="str">
        <f>SquareEquation(A3,B3,C3)</f>
        <v>Первый корень - (-0,381966011250105); Второй корень - (-2,61803398874989)</v>
      </c>
    </row>
    <row r="4" spans="1:4" x14ac:dyDescent="0.3">
      <c r="A4" s="1">
        <v>1.5</v>
      </c>
      <c r="B4" s="1">
        <v>0</v>
      </c>
      <c r="C4" s="1">
        <v>4</v>
      </c>
      <c r="D4" s="1" t="str">
        <f t="shared" ref="D4:D6" si="0">SquareEquation(A4,B4,C4)</f>
        <v>Решений нет</v>
      </c>
    </row>
    <row r="5" spans="1:4" x14ac:dyDescent="0.3">
      <c r="A5" s="1">
        <v>7</v>
      </c>
      <c r="B5" s="1">
        <v>34</v>
      </c>
      <c r="C5" s="1">
        <v>12</v>
      </c>
      <c r="D5" s="1" t="str">
        <f t="shared" si="0"/>
        <v>Первый корень - (-0,38316841953195); Второй корень - (-4,47397443761091)</v>
      </c>
    </row>
    <row r="6" spans="1:4" x14ac:dyDescent="0.3">
      <c r="A6" s="1">
        <v>0</v>
      </c>
      <c r="B6" s="1">
        <v>2</v>
      </c>
      <c r="C6" s="1">
        <v>15</v>
      </c>
      <c r="D6" s="1" t="str">
        <f t="shared" si="0"/>
        <v>Единственный корень - (-7,5)</v>
      </c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CA0E-E982-43CA-93C0-C7D5242DBAA2}">
  <sheetPr codeName="Лист4"/>
  <dimension ref="A1:G12"/>
  <sheetViews>
    <sheetView workbookViewId="0">
      <selection activeCell="P9" sqref="P9"/>
    </sheetView>
  </sheetViews>
  <sheetFormatPr defaultRowHeight="14.4" x14ac:dyDescent="0.3"/>
  <cols>
    <col min="1" max="1" width="12.6640625" customWidth="1"/>
    <col min="6" max="6" width="22" customWidth="1"/>
    <col min="7" max="7" width="19.33203125" customWidth="1"/>
  </cols>
  <sheetData>
    <row r="1" spans="1:7" x14ac:dyDescent="0.3">
      <c r="A1" s="3" t="s">
        <v>19</v>
      </c>
      <c r="B1" s="3"/>
      <c r="C1" s="3"/>
      <c r="D1" s="3"/>
      <c r="E1" s="3"/>
      <c r="F1" s="3"/>
      <c r="G1" s="3"/>
    </row>
    <row r="2" spans="1:7" x14ac:dyDescent="0.3">
      <c r="A2" s="1" t="s">
        <v>20</v>
      </c>
      <c r="B2" s="1" t="s">
        <v>21</v>
      </c>
      <c r="C2" s="1" t="s">
        <v>22</v>
      </c>
      <c r="D2" s="1" t="s">
        <v>23</v>
      </c>
      <c r="E2" s="1" t="s">
        <v>24</v>
      </c>
      <c r="F2" s="1" t="s">
        <v>35</v>
      </c>
      <c r="G2" s="1" t="s">
        <v>25</v>
      </c>
    </row>
    <row r="3" spans="1:7" x14ac:dyDescent="0.3">
      <c r="A3" s="1">
        <v>1</v>
      </c>
      <c r="B3" s="1" t="s">
        <v>33</v>
      </c>
      <c r="C3" s="1">
        <v>33</v>
      </c>
      <c r="D3" s="1">
        <v>167</v>
      </c>
      <c r="E3" s="1">
        <v>165</v>
      </c>
      <c r="F3" s="1" t="s">
        <v>36</v>
      </c>
      <c r="G3" s="1">
        <f>CaloriesPerDay2(B3,D3,E3,C3,F3)</f>
        <v>2850.2999999999997</v>
      </c>
    </row>
    <row r="4" spans="1:7" x14ac:dyDescent="0.3">
      <c r="A4" s="1">
        <v>2</v>
      </c>
      <c r="B4" s="1" t="s">
        <v>33</v>
      </c>
      <c r="C4" s="1">
        <v>42</v>
      </c>
      <c r="D4" s="1">
        <v>78</v>
      </c>
      <c r="E4" s="1">
        <v>147</v>
      </c>
      <c r="F4" s="1" t="s">
        <v>37</v>
      </c>
      <c r="G4" s="1">
        <f t="shared" ref="G4:G12" si="0">CaloriesPerDay2(B4,D4,E4,C4,F4)</f>
        <v>1825.65625</v>
      </c>
    </row>
    <row r="5" spans="1:7" x14ac:dyDescent="0.3">
      <c r="A5" s="1">
        <v>3</v>
      </c>
      <c r="B5" s="1" t="s">
        <v>34</v>
      </c>
      <c r="C5" s="1">
        <v>28</v>
      </c>
      <c r="D5" s="1">
        <v>81</v>
      </c>
      <c r="E5" s="1">
        <v>154</v>
      </c>
      <c r="F5" s="1" t="s">
        <v>36</v>
      </c>
      <c r="G5" s="1">
        <f t="shared" si="0"/>
        <v>1965</v>
      </c>
    </row>
    <row r="6" spans="1:7" x14ac:dyDescent="0.3">
      <c r="A6" s="1">
        <v>4</v>
      </c>
      <c r="B6" s="1" t="s">
        <v>33</v>
      </c>
      <c r="C6" s="1">
        <v>23</v>
      </c>
      <c r="D6" s="1">
        <v>123</v>
      </c>
      <c r="E6" s="1">
        <v>167</v>
      </c>
      <c r="F6" s="1" t="s">
        <v>37</v>
      </c>
      <c r="G6" s="1">
        <f t="shared" si="0"/>
        <v>2746.90625</v>
      </c>
    </row>
    <row r="7" spans="1:7" x14ac:dyDescent="0.3">
      <c r="A7" s="1">
        <v>5</v>
      </c>
      <c r="B7" s="1" t="s">
        <v>34</v>
      </c>
      <c r="C7" s="1">
        <v>37</v>
      </c>
      <c r="D7" s="1">
        <v>145</v>
      </c>
      <c r="E7" s="1">
        <v>172</v>
      </c>
      <c r="F7" s="1" t="s">
        <v>36</v>
      </c>
      <c r="G7" s="1">
        <f t="shared" si="0"/>
        <v>2814</v>
      </c>
    </row>
    <row r="8" spans="1:7" x14ac:dyDescent="0.3">
      <c r="A8" s="1">
        <v>6</v>
      </c>
      <c r="B8" s="1" t="s">
        <v>34</v>
      </c>
      <c r="C8" s="1">
        <v>54</v>
      </c>
      <c r="D8" s="1">
        <v>92</v>
      </c>
      <c r="E8" s="1">
        <v>163</v>
      </c>
      <c r="F8" s="1" t="s">
        <v>37</v>
      </c>
      <c r="G8" s="1">
        <f t="shared" si="0"/>
        <v>2301.40625</v>
      </c>
    </row>
    <row r="9" spans="1:7" x14ac:dyDescent="0.3">
      <c r="A9" s="1">
        <v>7</v>
      </c>
      <c r="B9" s="1" t="s">
        <v>34</v>
      </c>
      <c r="C9" s="1">
        <v>19</v>
      </c>
      <c r="D9" s="1">
        <v>129</v>
      </c>
      <c r="E9" s="1">
        <v>175</v>
      </c>
      <c r="F9" s="1" t="s">
        <v>38</v>
      </c>
      <c r="G9" s="1">
        <f t="shared" si="0"/>
        <v>3956.71875</v>
      </c>
    </row>
    <row r="10" spans="1:7" x14ac:dyDescent="0.3">
      <c r="A10" s="1">
        <v>8</v>
      </c>
      <c r="B10" s="1" t="s">
        <v>33</v>
      </c>
      <c r="C10" s="1">
        <v>18</v>
      </c>
      <c r="D10" s="1">
        <v>139</v>
      </c>
      <c r="E10" s="1">
        <v>159</v>
      </c>
      <c r="F10" s="1" t="s">
        <v>36</v>
      </c>
      <c r="G10" s="1">
        <f t="shared" si="0"/>
        <v>2559.2999999999997</v>
      </c>
    </row>
    <row r="11" spans="1:7" x14ac:dyDescent="0.3">
      <c r="A11" s="1">
        <v>9</v>
      </c>
      <c r="B11" s="1" t="s">
        <v>33</v>
      </c>
      <c r="C11" s="1">
        <v>61</v>
      </c>
      <c r="D11" s="1">
        <v>210</v>
      </c>
      <c r="E11" s="1">
        <v>178</v>
      </c>
      <c r="F11" s="1" t="s">
        <v>36</v>
      </c>
      <c r="G11" s="1">
        <f t="shared" si="0"/>
        <v>3295.7999999999997</v>
      </c>
    </row>
    <row r="12" spans="1:7" x14ac:dyDescent="0.3">
      <c r="A12" s="1">
        <v>10</v>
      </c>
      <c r="B12" s="1" t="s">
        <v>34</v>
      </c>
      <c r="C12" s="1">
        <v>47</v>
      </c>
      <c r="D12" s="1">
        <v>167</v>
      </c>
      <c r="E12" s="1">
        <v>186</v>
      </c>
      <c r="F12" s="1" t="s">
        <v>37</v>
      </c>
      <c r="G12" s="1">
        <f t="shared" si="0"/>
        <v>3578.4375</v>
      </c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33D2F-0F4E-4280-BABC-F598D742F6CE}">
  <sheetPr codeName="Лист6"/>
  <dimension ref="A1:D6"/>
  <sheetViews>
    <sheetView workbookViewId="0">
      <selection activeCell="E5" sqref="E5"/>
    </sheetView>
  </sheetViews>
  <sheetFormatPr defaultRowHeight="14.4" x14ac:dyDescent="0.3"/>
  <cols>
    <col min="4" max="4" width="53.33203125" customWidth="1"/>
  </cols>
  <sheetData>
    <row r="1" spans="1:4" x14ac:dyDescent="0.3">
      <c r="A1" s="3" t="s">
        <v>28</v>
      </c>
      <c r="B1" s="3"/>
      <c r="C1" s="3"/>
      <c r="D1" s="3"/>
    </row>
    <row r="2" spans="1:4" x14ac:dyDescent="0.3">
      <c r="A2" s="1" t="s">
        <v>29</v>
      </c>
      <c r="B2" s="1" t="s">
        <v>30</v>
      </c>
      <c r="C2" s="1" t="s">
        <v>31</v>
      </c>
      <c r="D2" s="1"/>
    </row>
    <row r="3" spans="1:4" x14ac:dyDescent="0.3">
      <c r="A3" s="1">
        <v>1</v>
      </c>
      <c r="B3" s="1">
        <v>3</v>
      </c>
      <c r="C3" s="1">
        <v>1</v>
      </c>
      <c r="D3" s="1" t="str">
        <f>SquareEquation2(A3,B3,C3)</f>
        <v>-0,381966011250105-2,61803398874989</v>
      </c>
    </row>
    <row r="4" spans="1:4" x14ac:dyDescent="0.3">
      <c r="A4" s="1">
        <v>1.5</v>
      </c>
      <c r="B4" s="1">
        <v>0</v>
      </c>
      <c r="C4" s="1">
        <v>4</v>
      </c>
      <c r="D4" s="1" t="str">
        <f t="shared" ref="D4:D6" si="0">SquareEquation2(A4,B4,C4)</f>
        <v>Корней нет</v>
      </c>
    </row>
    <row r="5" spans="1:4" x14ac:dyDescent="0.3">
      <c r="A5" s="1">
        <v>7</v>
      </c>
      <c r="B5" s="1">
        <v>34</v>
      </c>
      <c r="C5" s="1">
        <v>12</v>
      </c>
      <c r="D5" s="1" t="str">
        <f t="shared" si="0"/>
        <v>-0,43844718719117-4,56155281280883</v>
      </c>
    </row>
    <row r="6" spans="1:4" x14ac:dyDescent="0.3">
      <c r="A6" s="1">
        <v>1</v>
      </c>
      <c r="B6" s="1">
        <v>2</v>
      </c>
      <c r="C6" s="1">
        <v>15</v>
      </c>
      <c r="D6" s="1" t="str">
        <f t="shared" si="0"/>
        <v>Корней нет</v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DayOfWeek</vt:lpstr>
      <vt:lpstr>Otpusknye</vt:lpstr>
      <vt:lpstr>CaloriesPerDay</vt:lpstr>
      <vt:lpstr>SquareEquation</vt:lpstr>
      <vt:lpstr>CaloriesPerDay2</vt:lpstr>
      <vt:lpstr>SquareEquation2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s14</dc:creator>
  <cp:lastModifiedBy>Daniil _</cp:lastModifiedBy>
  <dcterms:created xsi:type="dcterms:W3CDTF">2023-05-16T06:05:19Z</dcterms:created>
  <dcterms:modified xsi:type="dcterms:W3CDTF">2024-06-29T03:44:41Z</dcterms:modified>
</cp:coreProperties>
</file>